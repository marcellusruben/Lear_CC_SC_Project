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Lear\"/>
    </mc:Choice>
  </mc:AlternateContent>
  <bookViews>
    <workbookView xWindow="0" yWindow="0" windowWidth="28800" windowHeight="14010"/>
  </bookViews>
  <sheets>
    <sheet name="Tabelle1" sheetId="1" r:id="rId1"/>
    <sheet name="Sheet2" sheetId="3" state="hidden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1" i="1" s="1"/>
  <c r="B13" i="1" s="1"/>
  <c r="B10" i="1"/>
  <c r="B12" i="1" s="1"/>
  <c r="B14" i="1" s="1"/>
  <c r="B12" i="3"/>
  <c r="B14" i="3" s="1"/>
  <c r="B10" i="3"/>
  <c r="B9" i="3"/>
  <c r="B11" i="3" s="1"/>
  <c r="B13" i="3" s="1"/>
</calcChain>
</file>

<file path=xl/sharedStrings.xml><?xml version="1.0" encoding="utf-8"?>
<sst xmlns="http://schemas.openxmlformats.org/spreadsheetml/2006/main" count="29" uniqueCount="17">
  <si>
    <t>Structure_Variants:</t>
  </si>
  <si>
    <t>Design_Level:</t>
  </si>
  <si>
    <t>Investigated_LoadCase:</t>
  </si>
  <si>
    <t>Welding_Type:</t>
  </si>
  <si>
    <t>CC_Threshold_EndBeam:</t>
  </si>
  <si>
    <t>CC_Threshold_MiddleBeam:</t>
  </si>
  <si>
    <t>CC-SC-Definition-Input-Value</t>
  </si>
  <si>
    <t>W206</t>
  </si>
  <si>
    <t>SWZ</t>
  </si>
  <si>
    <t>Laser</t>
  </si>
  <si>
    <t>Default</t>
  </si>
  <si>
    <t>SC_Threshold_EndBeam:</t>
  </si>
  <si>
    <t>SC_Threshold_MiddleBeam:</t>
  </si>
  <si>
    <t>Regular_Threshold_EndBeam:</t>
  </si>
  <si>
    <t>Regular_Threshold_MiddleBeam:</t>
  </si>
  <si>
    <t>Threshold_Computation_Method</t>
  </si>
  <si>
    <t>ECE14;ECE14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</si>
</sst>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1" xfId="0" applyFont="1" applyFill="1" applyBorder="1" applyProtection="1">
      <protection locked="0"/>
    </xf>
    <xf numFmtId="0" fontId="0" fillId="0" borderId="1" xfId="0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</xdr:row>
      <xdr:rowOff>66676</xdr:rowOff>
    </xdr:from>
    <xdr:to>
      <xdr:col>8</xdr:col>
      <xdr:colOff>485775</xdr:colOff>
      <xdr:row>9</xdr:row>
      <xdr:rowOff>142876</xdr:rowOff>
    </xdr:to>
    <xdr:sp macro="[0]!CommandButton1_Click" textlink="">
      <xdr:nvSpPr>
        <xdr:cNvPr id="2" name="Rechteck: abgerundete Ecken 1">
          <a:extLst>
            <a:ext uri="{FF2B5EF4-FFF2-40B4-BE49-F238E27FC236}">
              <a16:creationId xmlns="" xmlns:a16="http://schemas.microsoft.com/office/drawing/2014/main" id="{D8F4E0AC-DA40-4FF3-AEE6-7A3493F75788}"/>
            </a:ext>
          </a:extLst>
        </xdr:cNvPr>
        <xdr:cNvSpPr/>
      </xdr:nvSpPr>
      <xdr:spPr>
        <a:xfrm>
          <a:off x="8610600" y="590551"/>
          <a:ext cx="3886200" cy="1409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DE" sz="4000"/>
            <a:t>Write to Text File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I14"/>
  <sheetViews>
    <sheetView tabSelected="1" workbookViewId="0">
      <selection activeCell="A21" sqref="A21"/>
    </sheetView>
  </sheetViews>
  <sheetFormatPr defaultColWidth="11.42578125" defaultRowHeight="15" x14ac:dyDescent="0.25"/>
  <cols>
    <col min="1" max="1" width="65.7109375" customWidth="1"/>
    <col min="2" max="2" width="86.85546875" customWidth="1"/>
  </cols>
  <sheetData>
    <row r="2" spans="1:9" ht="26.25" x14ac:dyDescent="0.4">
      <c r="A2" s="1" t="s">
        <v>6</v>
      </c>
    </row>
    <row r="3" spans="1:9" x14ac:dyDescent="0.25">
      <c r="D3" s="2"/>
      <c r="E3" s="2"/>
      <c r="F3" s="2"/>
      <c r="G3" s="2"/>
      <c r="H3" s="2"/>
      <c r="I3" s="2"/>
    </row>
    <row r="4" spans="1:9" x14ac:dyDescent="0.25">
      <c r="A4" s="4" t="s">
        <v>0</v>
      </c>
      <c r="B4" s="3" t="s">
        <v>7</v>
      </c>
      <c r="D4" s="2"/>
      <c r="E4" s="2"/>
      <c r="F4" s="2"/>
      <c r="G4" s="2"/>
      <c r="H4" s="2"/>
      <c r="I4" s="2"/>
    </row>
    <row r="5" spans="1:9" x14ac:dyDescent="0.25">
      <c r="A5" s="4" t="s">
        <v>1</v>
      </c>
      <c r="B5" s="3" t="s">
        <v>8</v>
      </c>
      <c r="D5" s="2"/>
      <c r="E5" s="2"/>
      <c r="F5" s="2"/>
      <c r="G5" s="2"/>
      <c r="H5" s="2"/>
      <c r="I5" s="2"/>
    </row>
    <row r="6" spans="1:9" x14ac:dyDescent="0.25">
      <c r="A6" s="4" t="s">
        <v>2</v>
      </c>
      <c r="B6" s="3" t="s">
        <v>16</v>
      </c>
      <c r="D6" s="2"/>
      <c r="E6" s="2"/>
      <c r="F6" s="2"/>
      <c r="G6" s="2"/>
      <c r="H6" s="2"/>
      <c r="I6" s="2"/>
    </row>
    <row r="7" spans="1:9" x14ac:dyDescent="0.25">
      <c r="A7" s="4" t="s">
        <v>3</v>
      </c>
      <c r="B7" s="3" t="s">
        <v>9</v>
      </c>
      <c r="D7" s="2"/>
      <c r="E7" s="2"/>
      <c r="F7" s="2"/>
      <c r="G7" s="2"/>
      <c r="H7" s="2"/>
      <c r="I7" s="2"/>
    </row>
    <row r="8" spans="1:9" x14ac:dyDescent="0.25">
      <c r="A8" s="4" t="s">
        <v>15</v>
      </c>
      <c r="B8" s="3" t="s">
        <v>10</v>
      </c>
      <c r="D8" s="2"/>
      <c r="E8" s="2"/>
      <c r="F8" s="2"/>
      <c r="G8" s="2"/>
      <c r="H8" s="2"/>
      <c r="I8" s="2"/>
    </row>
    <row r="9" spans="1:9" x14ac:dyDescent="0.25">
      <c r="A9" s="4" t="s">
        <v>4</v>
      </c>
      <c r="B9" s="6">
        <f>IF(AND(B7="Laser",B8="Default"),0.8,IF(AND(B7="Laser",B8="Custom"),"",IF(AND(B7="MAG",B8="Custom"), "",IF(AND(B7="MAG",B8="Default"),0))))</f>
        <v>0.8</v>
      </c>
      <c r="D9" s="2"/>
      <c r="E9" s="2"/>
      <c r="F9" s="2"/>
      <c r="G9" s="2"/>
      <c r="H9" s="2"/>
      <c r="I9" s="2"/>
    </row>
    <row r="10" spans="1:9" x14ac:dyDescent="0.25">
      <c r="A10" s="4" t="s">
        <v>5</v>
      </c>
      <c r="B10" s="6">
        <f>IF(AND(B7="Laser",B8="Default"),1,IF(AND(B7="Laser",B8="Custom"),"",IF(AND(B7="MAG",B8="Custom"), "",IF(AND(B7="MAG",B8="Default"),0))))</f>
        <v>1</v>
      </c>
      <c r="D10" s="2"/>
      <c r="E10" s="2"/>
      <c r="F10" s="2"/>
      <c r="G10" s="2"/>
      <c r="H10" s="2"/>
      <c r="I10" s="2"/>
    </row>
    <row r="11" spans="1:9" x14ac:dyDescent="0.25">
      <c r="A11" s="4" t="s">
        <v>11</v>
      </c>
      <c r="B11" s="6">
        <f>IF(AND(B7="Laser",B8="Default"),(B9-(B9*0.125)),IF(AND(B7="Laser",B8="Custom"),"",IF(AND(B7="MAG",B8="Custom"), "",IF(AND(B7="MAG",B8="Default"),0))))</f>
        <v>0.70000000000000007</v>
      </c>
    </row>
    <row r="12" spans="1:9" x14ac:dyDescent="0.25">
      <c r="A12" s="5" t="s">
        <v>12</v>
      </c>
      <c r="B12" s="6">
        <f>IF(AND(B7="Laser",B8="Default"),(B10-(B10*0.125)),IF(AND(B7="Laser",B8="Custom"),"",IF(AND(B7="MAG",B8="Custom"), "",IF(AND(B7="MAG",B8="Default"),0))))</f>
        <v>0.875</v>
      </c>
    </row>
    <row r="13" spans="1:9" x14ac:dyDescent="0.25">
      <c r="A13" s="5" t="s">
        <v>13</v>
      </c>
      <c r="B13" s="6">
        <f>IF(AND(B7="Laser",B8="Default"),(B11-(B11*0.125)),IF(AND(B7="Laser",B8="Custom"),"",IF(AND(B7="MAG",B8="Custom"), "",IF(AND(B7="MAG",B8="Default"),0))))</f>
        <v>0.61250000000000004</v>
      </c>
    </row>
    <row r="14" spans="1:9" x14ac:dyDescent="0.25">
      <c r="A14" s="5" t="s">
        <v>14</v>
      </c>
      <c r="B14" s="6">
        <f>IF(AND(B7="Laser",B8="Default"),(B12-(B12*0.125)),IF(AND(B7="Laser",B8="Custom"),"",IF(AND(B7="MAG",B8="Custom"), "",IF(AND(B7="MAG",B8="Default"),0))))</f>
        <v>0.765625</v>
      </c>
    </row>
  </sheetData>
  <mergeCells count="1">
    <mergeCell ref="D3:I10"/>
  </mergeCells>
  <pageMargins left="0.7" right="0.7" top="0.78740157499999996" bottom="0.78740157499999996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14"/>
  <sheetViews>
    <sheetView workbookViewId="0">
      <selection activeCell="B9" sqref="B9"/>
    </sheetView>
  </sheetViews>
  <sheetFormatPr defaultRowHeight="15" x14ac:dyDescent="0.25"/>
  <cols>
    <col min="1" max="1" width="52.42578125" customWidth="1"/>
    <col min="2" max="2" width="83.5703125" customWidth="1"/>
  </cols>
  <sheetData>
    <row r="2" spans="1:2" ht="26.25" x14ac:dyDescent="0.4">
      <c r="A2" s="1" t="s">
        <v>6</v>
      </c>
    </row>
    <row r="4" spans="1:2" x14ac:dyDescent="0.25">
      <c r="A4" s="4" t="s">
        <v>0</v>
      </c>
      <c r="B4" s="3"/>
    </row>
    <row r="5" spans="1:2" x14ac:dyDescent="0.25">
      <c r="A5" s="4" t="s">
        <v>1</v>
      </c>
      <c r="B5" s="3"/>
    </row>
    <row r="6" spans="1:2" x14ac:dyDescent="0.25">
      <c r="A6" s="4" t="s">
        <v>2</v>
      </c>
      <c r="B6" s="3"/>
    </row>
    <row r="7" spans="1:2" x14ac:dyDescent="0.25">
      <c r="A7" s="4" t="s">
        <v>3</v>
      </c>
      <c r="B7" s="3"/>
    </row>
    <row r="8" spans="1:2" x14ac:dyDescent="0.25">
      <c r="A8" s="4" t="s">
        <v>15</v>
      </c>
      <c r="B8" s="3"/>
    </row>
    <row r="9" spans="1:2" x14ac:dyDescent="0.25">
      <c r="A9" s="4" t="s">
        <v>4</v>
      </c>
      <c r="B9" s="6" t="b">
        <f>IF(AND(B7="Laser",B8="Default"),0.8,IF(AND(B7="Laser",B8="Custom"),"",IF(AND(B7="MAG",B8="Custom"), "",IF(AND(B7="MAG",B8="Default"),0))))</f>
        <v>0</v>
      </c>
    </row>
    <row r="10" spans="1:2" x14ac:dyDescent="0.25">
      <c r="A10" s="4" t="s">
        <v>5</v>
      </c>
      <c r="B10" s="6" t="b">
        <f>IF(AND(B7="Laser",B8="Default"),1,IF(AND(B7="Laser",B8="Custom"),"",IF(AND(B7="MAG",B8="Custom"), "",IF(AND(B7="MAG",B8="Default"),0))))</f>
        <v>0</v>
      </c>
    </row>
    <row r="11" spans="1:2" x14ac:dyDescent="0.25">
      <c r="A11" s="4" t="s">
        <v>11</v>
      </c>
      <c r="B11" s="6" t="b">
        <f>IF(AND(B7="Laser",B8="Default"),(B9-(B9*0.125)),IF(AND(B7="Laser",B8="Custom"),"",IF(AND(B7="MAG",B8="Custom"), "",IF(AND(B7="MAG",B8="Default"),0))))</f>
        <v>0</v>
      </c>
    </row>
    <row r="12" spans="1:2" x14ac:dyDescent="0.25">
      <c r="A12" s="5" t="s">
        <v>12</v>
      </c>
      <c r="B12" s="6" t="b">
        <f>IF(AND(B7="Laser",B8="Default"),(B10-(B10*0.125)),IF(AND(B7="Laser",B8="Custom"),"",IF(AND(B7="MAG",B8="Custom"), "",IF(AND(B7="MAG",B8="Default"),0))))</f>
        <v>0</v>
      </c>
    </row>
    <row r="13" spans="1:2" x14ac:dyDescent="0.25">
      <c r="A13" s="5" t="s">
        <v>13</v>
      </c>
      <c r="B13" s="6" t="b">
        <f>IF(AND(B7="Laser",B8="Default"),(B11-(B11*0.125)),IF(AND(B7="Laser",B8="Custom"),"",IF(AND(B7="MAG",B8="Custom"), "",IF(AND(B7="MAG",B8="Default"),0))))</f>
        <v>0</v>
      </c>
    </row>
    <row r="14" spans="1:2" x14ac:dyDescent="0.25">
      <c r="A14" s="5" t="s">
        <v>14</v>
      </c>
      <c r="B14" s="6" t="b">
        <f>IF(AND(B7="Laser",B8="Default"),(B12-(B12*0.125)),IF(AND(B7="Laser",B8="Custom"),"",IF(AND(B7="MAG",B8="Custom"), "",IF(AND(B7="MAG",B8="Default"),0))))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Tabelle1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Winastwan, Marcellus Ruben</dc:creator>
  <cp:lastModifiedBy>ASUS</cp:lastModifiedBy>
  <dcterms:created xsi:type="dcterms:W3CDTF">2019-06-24T12:03:36Z</dcterms:created>
  <dcterms:modified xsi:type="dcterms:W3CDTF">2019-07-07T12:06:40Z</dcterms:modified>
</cp:coreProperties>
</file>